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a309396e521dc20/"/>
    </mc:Choice>
  </mc:AlternateContent>
  <xr:revisionPtr revIDLastSave="14" documentId="8_{D6C5FE5F-98AF-4BFC-98F3-F411A1D8EBCF}" xr6:coauthVersionLast="47" xr6:coauthVersionMax="47" xr10:uidLastSave="{8C3D0A76-34A2-47F6-9164-C4306D385D5D}"/>
  <bookViews>
    <workbookView minimized="1" xWindow="345" yWindow="345" windowWidth="2400" windowHeight="585" xr2:uid="{D66D9BFD-1292-4504-AB53-67F1257B23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G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</calcChain>
</file>

<file path=xl/sharedStrings.xml><?xml version="1.0" encoding="utf-8"?>
<sst xmlns="http://schemas.openxmlformats.org/spreadsheetml/2006/main" count="222" uniqueCount="148">
  <si>
    <t xml:space="preserve">PROPIETARIOS </t>
  </si>
  <si>
    <t xml:space="preserve">Lote </t>
  </si>
  <si>
    <t>Mnz</t>
  </si>
  <si>
    <t>m2</t>
  </si>
  <si>
    <t>dll/m2</t>
  </si>
  <si>
    <t xml:space="preserve">Valor </t>
  </si>
  <si>
    <t>TELEFONO</t>
  </si>
  <si>
    <t>CORREO</t>
  </si>
  <si>
    <t xml:space="preserve">Patricio Hernandez Ritchie y Gerardo Cervantes Aguilar </t>
  </si>
  <si>
    <t>MEX</t>
  </si>
  <si>
    <t xml:space="preserve">henriquezritchie@hotmail.com       </t>
  </si>
  <si>
    <t xml:space="preserve">Francisco Javier Gonzalez Prado </t>
  </si>
  <si>
    <t>6461626586</t>
  </si>
  <si>
    <t>aelmazan2507@gmail.com</t>
  </si>
  <si>
    <t xml:space="preserve">Israel Ozier Tovar </t>
  </si>
  <si>
    <t>USA</t>
  </si>
  <si>
    <t>5203891314</t>
  </si>
  <si>
    <t>israeltovar080@gmail.com</t>
  </si>
  <si>
    <t xml:space="preserve">Jessica Ruiz Campas </t>
  </si>
  <si>
    <t xml:space="preserve"> 1y 2</t>
  </si>
  <si>
    <t>8184717049</t>
  </si>
  <si>
    <t>jessica14ruiz@hotmail.com</t>
  </si>
  <si>
    <t xml:space="preserve">Roxana </t>
  </si>
  <si>
    <t>6864051920</t>
  </si>
  <si>
    <t>roxanagm90@gmail.com</t>
  </si>
  <si>
    <t xml:space="preserve">Alma y Enrique </t>
  </si>
  <si>
    <t>6192505732</t>
  </si>
  <si>
    <t>acruz_081810@yahoo.com</t>
  </si>
  <si>
    <t xml:space="preserve">Rosa Maria Trujillo </t>
  </si>
  <si>
    <t>6469477591</t>
  </si>
  <si>
    <t>rosamariat01@hotmail.com</t>
  </si>
  <si>
    <t xml:space="preserve">Alejandro Alfaro Correa </t>
  </si>
  <si>
    <t>5514898116</t>
  </si>
  <si>
    <t>arq.alejandroalfaro@gmail.com</t>
  </si>
  <si>
    <t xml:space="preserve">Martha Alicia Villaseñor </t>
  </si>
  <si>
    <t>7609859807</t>
  </si>
  <si>
    <t>marthavillasenor77@gmail.com</t>
  </si>
  <si>
    <t xml:space="preserve">Jason Gomez </t>
  </si>
  <si>
    <t>2535794121</t>
  </si>
  <si>
    <t>jason.gomez2542@gmail.com</t>
  </si>
  <si>
    <t xml:space="preserve">Pedro Alfredo  Ramirez y Maria Dolores Llona </t>
  </si>
  <si>
    <t>6643046943</t>
  </si>
  <si>
    <t>pealfre@gmail.com</t>
  </si>
  <si>
    <t xml:space="preserve">Juan Garcia </t>
  </si>
  <si>
    <t>7609793510</t>
  </si>
  <si>
    <t>19juangarcia72@gmail.com</t>
  </si>
  <si>
    <t xml:space="preserve">Aline Ramcres y Jose Preciado </t>
  </si>
  <si>
    <t>9093198315</t>
  </si>
  <si>
    <t>preciadojose535@icloud.com</t>
  </si>
  <si>
    <t xml:space="preserve">Javier Rodriguez Guerrero </t>
  </si>
  <si>
    <t>3233605362</t>
  </si>
  <si>
    <t>rodrijh@gmail.com</t>
  </si>
  <si>
    <t xml:space="preserve">Oscar Estrada Gomez </t>
  </si>
  <si>
    <t>9512881315</t>
  </si>
  <si>
    <t>oscargestrada1315@gmail.com</t>
  </si>
  <si>
    <t>Nancy Morales Sanchez y Rogelio Arturo Gonzalez</t>
  </si>
  <si>
    <t>6641564674</t>
  </si>
  <si>
    <t>cpnancymorales@gmail.com</t>
  </si>
  <si>
    <t xml:space="preserve">Maria Graciela Macias y Alberto Antonio Macias </t>
  </si>
  <si>
    <t>7023719734</t>
  </si>
  <si>
    <t>grace.macias.m@gmail.com</t>
  </si>
  <si>
    <t xml:space="preserve">Ana Lilia Aguilar y Jose B Montoya </t>
  </si>
  <si>
    <t>7608997894</t>
  </si>
  <si>
    <t>montoyajose015@yahoo.com</t>
  </si>
  <si>
    <t xml:space="preserve">Roxana Garcia Moreno y Daniel Garcia Moreno </t>
  </si>
  <si>
    <t>6864058660</t>
  </si>
  <si>
    <t>daniel_garzia@hotmail.com</t>
  </si>
  <si>
    <t xml:space="preserve">Amber Alice Garcia y Frank Garcia </t>
  </si>
  <si>
    <t>7143094514</t>
  </si>
  <si>
    <t>valefran7@yahoo.com</t>
  </si>
  <si>
    <t xml:space="preserve">frankscapes@yahoo.com    </t>
  </si>
  <si>
    <t xml:space="preserve">Elizabeth de la Cruz Chaidez </t>
  </si>
  <si>
    <t>6862229708</t>
  </si>
  <si>
    <t>dianae.salcedo@outlook.com</t>
  </si>
  <si>
    <t xml:space="preserve">Diana Elizabeth Salcedo de la Cruz </t>
  </si>
  <si>
    <t>6648075912</t>
  </si>
  <si>
    <t>ecruz08@gmail.com</t>
  </si>
  <si>
    <t xml:space="preserve">Maria Guadalupe Briones Sanchez </t>
  </si>
  <si>
    <t>8589771761</t>
  </si>
  <si>
    <t>jalzate92127@gmail.com</t>
  </si>
  <si>
    <t>Sergio Quijano Ramirez</t>
  </si>
  <si>
    <t>7605626892</t>
  </si>
  <si>
    <t>quijano581@hotmail.com</t>
  </si>
  <si>
    <t>Edgar Alonso Quijano Ramirez</t>
  </si>
  <si>
    <t>7606933254</t>
  </si>
  <si>
    <t>edgarisimo45@hotmail.com</t>
  </si>
  <si>
    <t xml:space="preserve">Royce Allen Rheinhart </t>
  </si>
  <si>
    <t>7608075431</t>
  </si>
  <si>
    <t>rrheinhart@att.net</t>
  </si>
  <si>
    <t>taniapicos06@gmail.com</t>
  </si>
  <si>
    <t>Damara Benderas Hernandez</t>
  </si>
  <si>
    <t>5105846841</t>
  </si>
  <si>
    <t>damarabenderas@gmail.com</t>
  </si>
  <si>
    <t>Jacobo Noe Dominguez Maldonado</t>
  </si>
  <si>
    <t>6647403491</t>
  </si>
  <si>
    <t>jnoe.dominguez@gmail.com</t>
  </si>
  <si>
    <t>Antonio Toledo Ruiz</t>
  </si>
  <si>
    <t>6644362946</t>
  </si>
  <si>
    <t>toledo2809@hotmail.com</t>
  </si>
  <si>
    <t xml:space="preserve">Adriana Remedios Carrillo y Felipe Alonso Orozco Dozal </t>
  </si>
  <si>
    <t>3104939348</t>
  </si>
  <si>
    <t>acarrillo90221@gmail.com</t>
  </si>
  <si>
    <t>Julio Cesar Ruiz Alarcon</t>
  </si>
  <si>
    <t>6646487367</t>
  </si>
  <si>
    <t>Julio Cesar Ruiz Alarco</t>
  </si>
  <si>
    <t>geraa1122@gmail.com</t>
  </si>
  <si>
    <t>Nestor Ruiz Alarcon</t>
  </si>
  <si>
    <t>6641230939</t>
  </si>
  <si>
    <t>nessrua@hotmail.com</t>
  </si>
  <si>
    <t>julio_cra@hotmail.com</t>
  </si>
  <si>
    <t xml:space="preserve">Carolina Alvarez </t>
  </si>
  <si>
    <t>6643752533</t>
  </si>
  <si>
    <t>psic_carolinaalvarez@hotmail.com</t>
  </si>
  <si>
    <t>Laura Alejandro - Alejandro Alejandre</t>
  </si>
  <si>
    <t>8165722109</t>
  </si>
  <si>
    <t>lauraalejandre2@gmail.com</t>
  </si>
  <si>
    <t>oscarestrada1315@gmail.com</t>
  </si>
  <si>
    <t>Mario Alberto Zuñiga</t>
  </si>
  <si>
    <t>6645334822</t>
  </si>
  <si>
    <t>i.morenozuniga@yahoo.com.mx</t>
  </si>
  <si>
    <t>Valeria Valencia Zamudio</t>
  </si>
  <si>
    <t>6641983279</t>
  </si>
  <si>
    <t>valeria_vz@yahoo.es</t>
  </si>
  <si>
    <t>Reyna Isabel Santos Guicho</t>
  </si>
  <si>
    <t>6641987414</t>
  </si>
  <si>
    <t>isabelsantos.risg@gmail.com</t>
  </si>
  <si>
    <t xml:space="preserve">Andres Roberto Zuñiga Albarran </t>
  </si>
  <si>
    <t>7026049784</t>
  </si>
  <si>
    <t>c247andres@yahoo.com</t>
  </si>
  <si>
    <t>Pedro Ibarra Diaz/ Guillermina Jimenez Terrones</t>
  </si>
  <si>
    <t>9092962454</t>
  </si>
  <si>
    <t>theweddingsinger2@yahoo.com</t>
  </si>
  <si>
    <t>Mayra Barreda Mayo</t>
  </si>
  <si>
    <t>6643507810</t>
  </si>
  <si>
    <t>mayrabarredamay@gmail.com</t>
  </si>
  <si>
    <t>Iyart Sagrario Silva Quintero/Ari Alberto Morales Alfaro</t>
  </si>
  <si>
    <t>6643599307</t>
  </si>
  <si>
    <t>ari.-alberto@hotmail.com</t>
  </si>
  <si>
    <t>Claudia Liliana Gaxiola</t>
  </si>
  <si>
    <t>6646741784</t>
  </si>
  <si>
    <t>curielgaxiola@gmail.com</t>
  </si>
  <si>
    <t>Jessica Anahi Grande Zavala</t>
  </si>
  <si>
    <t>3236086018</t>
  </si>
  <si>
    <t>jgrande1016@gmail.com</t>
  </si>
  <si>
    <t>Perla Yiovanna Suarez</t>
  </si>
  <si>
    <t>6643853063</t>
  </si>
  <si>
    <t>blancagues@gmail.com</t>
  </si>
  <si>
    <t>Blanca Elizabeth Gutierrez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</si>
</sst>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5" formatCode="&quot;$&quot;#,##0.00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Optima Normal"/>
    </font>
    <font>
      <sz val="12"/>
      <color theme="1"/>
      <name val="Optima Normal"/>
    </font>
    <font>
      <u/>
      <sz val="12"/>
      <color theme="10"/>
      <name val="Aptos Narrow"/>
      <family val="2"/>
      <scheme val="minor"/>
    </font>
    <font>
      <sz val="12"/>
      <color rgb="FF22222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ashed">
        <color theme="7" tint="-0.249977111117893"/>
      </top>
      <bottom style="dashed">
        <color theme="7" tint="-0.249977111117893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left"/>
    </xf>
    <xf numFmtId="0" fontId="3" fillId="0" borderId="1" xfId="0" applyFont="1" applyBorder="1" applyAlignment="1">
      <alignment horizontal="left"/>
    </xf>
    <xf numFmtId="0" fontId="3" fillId="2" borderId="2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left" vertical="center"/>
    </xf>
    <xf numFmtId="44" fontId="4" fillId="2" borderId="5" xfId="2" applyFont="1" applyFill="1" applyBorder="1" applyAlignment="1">
      <alignment horizontal="center" vertical="center"/>
    </xf>
    <xf numFmtId="165" fontId="4" fillId="2" borderId="5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9" xfId="1" applyNumberFormat="1" applyFont="1" applyFill="1" applyBorder="1" applyAlignment="1">
      <alignment horizontal="left" vertical="center"/>
    </xf>
    <xf numFmtId="44" fontId="5" fillId="2" borderId="10" xfId="2" applyFont="1" applyFill="1" applyBorder="1" applyAlignment="1">
      <alignment horizontal="center" vertical="center"/>
    </xf>
    <xf numFmtId="165" fontId="4" fillId="2" borderId="10" xfId="0" applyNumberFormat="1" applyFont="1" applyFill="1" applyBorder="1" applyAlignment="1">
      <alignment horizontal="center" vertical="center"/>
    </xf>
    <xf numFmtId="49" fontId="4" fillId="2" borderId="7" xfId="0" applyNumberFormat="1" applyFont="1" applyFill="1" applyBorder="1" applyAlignment="1">
      <alignment horizontal="center"/>
    </xf>
    <xf numFmtId="1" fontId="5" fillId="2" borderId="11" xfId="0" applyNumberFormat="1" applyFont="1" applyFill="1" applyBorder="1" applyAlignment="1">
      <alignment horizontal="left"/>
    </xf>
    <xf numFmtId="14" fontId="6" fillId="2" borderId="12" xfId="3" applyNumberFormat="1" applyFont="1" applyFill="1" applyBorder="1" applyAlignment="1">
      <alignment horizontal="left"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1" applyNumberFormat="1" applyFont="1" applyFill="1" applyBorder="1" applyAlignment="1">
      <alignment horizontal="left" vertical="center"/>
    </xf>
    <xf numFmtId="44" fontId="5" fillId="2" borderId="15" xfId="2" applyFont="1" applyFill="1" applyBorder="1" applyAlignment="1">
      <alignment horizontal="center" vertical="center"/>
    </xf>
    <xf numFmtId="165" fontId="4" fillId="2" borderId="15" xfId="0" applyNumberFormat="1" applyFont="1" applyFill="1" applyBorder="1" applyAlignment="1">
      <alignment horizontal="center" vertical="center"/>
    </xf>
    <xf numFmtId="49" fontId="4" fillId="2" borderId="13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/>
    </xf>
    <xf numFmtId="14" fontId="6" fillId="2" borderId="17" xfId="3" applyNumberFormat="1" applyFont="1" applyFill="1" applyBorder="1" applyAlignment="1">
      <alignment horizontal="left"/>
    </xf>
    <xf numFmtId="0" fontId="5" fillId="2" borderId="13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horizontal="left"/>
    </xf>
    <xf numFmtId="49" fontId="4" fillId="2" borderId="13" xfId="0" applyNumberFormat="1" applyFont="1" applyFill="1" applyBorder="1" applyAlignment="1">
      <alignment horizontal="center" vertical="center"/>
    </xf>
    <xf numFmtId="14" fontId="0" fillId="2" borderId="17" xfId="0" applyNumberFormat="1" applyFill="1" applyBorder="1" applyAlignment="1">
      <alignment horizontal="left"/>
    </xf>
    <xf numFmtId="0" fontId="6" fillId="2" borderId="17" xfId="3" applyFont="1" applyFill="1" applyBorder="1" applyAlignment="1">
      <alignment horizontal="left"/>
    </xf>
    <xf numFmtId="0" fontId="5" fillId="2" borderId="1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1" applyNumberFormat="1" applyFont="1" applyFill="1" applyBorder="1" applyAlignment="1">
      <alignment horizontal="left" vertical="center" wrapText="1"/>
    </xf>
    <xf numFmtId="165" fontId="4" fillId="2" borderId="15" xfId="0" applyNumberFormat="1" applyFont="1" applyFill="1" applyBorder="1" applyAlignment="1">
      <alignment horizontal="center" vertical="center" wrapText="1"/>
    </xf>
    <xf numFmtId="49" fontId="4" fillId="2" borderId="13" xfId="0" applyNumberFormat="1" applyFont="1" applyFill="1" applyBorder="1" applyAlignment="1">
      <alignment horizontal="center" vertical="center" wrapText="1"/>
    </xf>
    <xf numFmtId="49" fontId="4" fillId="2" borderId="1" xfId="0" applyNumberFormat="1" applyFont="1" applyFill="1" applyBorder="1" applyAlignment="1">
      <alignment horizontal="left" vertical="center" wrapText="1"/>
    </xf>
    <xf numFmtId="49" fontId="5" fillId="2" borderId="16" xfId="0" applyNumberFormat="1" applyFont="1" applyFill="1" applyBorder="1" applyAlignment="1">
      <alignment horizontal="left" wrapText="1"/>
    </xf>
    <xf numFmtId="165" fontId="4" fillId="2" borderId="15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left"/>
    </xf>
    <xf numFmtId="14" fontId="0" fillId="2" borderId="17" xfId="0" applyNumberFormat="1" applyFill="1" applyBorder="1" applyAlignment="1">
      <alignment horizontal="left" wrapText="1"/>
    </xf>
    <xf numFmtId="14" fontId="6" fillId="2" borderId="17" xfId="3" applyNumberFormat="1" applyFont="1" applyFill="1" applyBorder="1" applyAlignment="1">
      <alignment horizontal="left" wrapText="1"/>
    </xf>
    <xf numFmtId="49" fontId="2" fillId="2" borderId="16" xfId="3" applyNumberFormat="1" applyFont="1" applyFill="1" applyBorder="1" applyAlignment="1">
      <alignment horizontal="left"/>
    </xf>
    <xf numFmtId="0" fontId="5" fillId="2" borderId="14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44" fontId="5" fillId="2" borderId="1" xfId="2" applyFont="1" applyFill="1" applyBorder="1" applyAlignment="1">
      <alignment horizontal="center" vertical="center"/>
    </xf>
    <xf numFmtId="49" fontId="4" fillId="2" borderId="18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44" fontId="5" fillId="2" borderId="1" xfId="2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left"/>
    </xf>
    <xf numFmtId="44" fontId="5" fillId="2" borderId="21" xfId="2" applyFont="1" applyFill="1" applyBorder="1" applyAlignment="1">
      <alignment horizontal="center"/>
    </xf>
    <xf numFmtId="165" fontId="4" fillId="2" borderId="22" xfId="0" applyNumberFormat="1" applyFont="1" applyFill="1" applyBorder="1" applyAlignment="1">
      <alignment horizontal="center"/>
    </xf>
    <xf numFmtId="49" fontId="4" fillId="2" borderId="19" xfId="0" applyNumberFormat="1" applyFont="1" applyFill="1" applyBorder="1" applyAlignment="1">
      <alignment horizontal="center"/>
    </xf>
    <xf numFmtId="49" fontId="4" fillId="2" borderId="21" xfId="0" applyNumberFormat="1" applyFont="1" applyFill="1" applyBorder="1" applyAlignment="1">
      <alignment horizontal="left"/>
    </xf>
    <xf numFmtId="49" fontId="5" fillId="2" borderId="23" xfId="0" applyNumberFormat="1" applyFont="1" applyFill="1" applyBorder="1" applyAlignment="1">
      <alignment horizontal="left"/>
    </xf>
    <xf numFmtId="14" fontId="6" fillId="2" borderId="24" xfId="3" applyNumberFormat="1" applyFont="1" applyFill="1" applyBorder="1" applyAlignment="1">
      <alignment horizontal="left"/>
    </xf>
    <xf numFmtId="49" fontId="2" fillId="2" borderId="16" xfId="3" applyNumberFormat="1" applyFill="1" applyBorder="1" applyAlignment="1">
      <alignment horizontal="left" wrapText="1"/>
    </xf>
    <xf numFmtId="1" fontId="4" fillId="2" borderId="9" xfId="0" applyNumberFormat="1" applyFont="1" applyFill="1" applyBorder="1" applyAlignment="1">
      <alignment horizontal="left" vertical="center"/>
    </xf>
    <xf numFmtId="0" fontId="3" fillId="2" borderId="25" xfId="0" applyFont="1" applyFill="1" applyBorder="1" applyAlignment="1">
      <alignment horizontal="center"/>
    </xf>
    <xf numFmtId="0" fontId="3" fillId="2" borderId="26" xfId="0" applyFont="1" applyFill="1" applyBorder="1" applyAlignment="1">
      <alignment horizontal="center"/>
    </xf>
    <xf numFmtId="0" fontId="5" fillId="2" borderId="27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/>
    </xf>
    <xf numFmtId="0" fontId="5" fillId="2" borderId="28" xfId="0" applyFont="1" applyFill="1" applyBorder="1" applyAlignment="1">
      <alignment vertical="center" wrapText="1"/>
    </xf>
    <xf numFmtId="0" fontId="5" fillId="2" borderId="29" xfId="0" applyFont="1" applyFill="1" applyBorder="1"/>
    <xf numFmtId="0" fontId="5" fillId="2" borderId="28" xfId="0" applyFont="1" applyFill="1" applyBorder="1"/>
    <xf numFmtId="0" fontId="5" fillId="2" borderId="28" xfId="0" applyFont="1" applyFill="1" applyBorder="1" applyAlignment="1">
      <alignment horizontal="left"/>
    </xf>
    <xf numFmtId="0" fontId="5" fillId="2" borderId="30" xfId="0" applyFont="1" applyFill="1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</cellXfs>
  <cellStyles count="4">
    <cellStyle name="Hipervínculo" xfId="3" builtinId="8"/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toledo2809@hotmail.com" TargetMode="External"/><Relationship Id="rId18" Type="http://schemas.openxmlformats.org/officeDocument/2006/relationships/hyperlink" Target="mailto:acarrillo90221@gmail.com" TargetMode="External"/><Relationship Id="rId26" Type="http://schemas.openxmlformats.org/officeDocument/2006/relationships/hyperlink" Target="mailto:theweddingsinger2@yahoo.com" TargetMode="External"/><Relationship Id="rId3" Type="http://schemas.openxmlformats.org/officeDocument/2006/relationships/hyperlink" Target="mailto:rodrijh@gmail.com" TargetMode="External"/><Relationship Id="rId21" Type="http://schemas.openxmlformats.org/officeDocument/2006/relationships/hyperlink" Target="mailto:valeria_vz@yahoo.es" TargetMode="External"/><Relationship Id="rId34" Type="http://schemas.openxmlformats.org/officeDocument/2006/relationships/hyperlink" Target="mailto:rrheinhart@att.net" TargetMode="External"/><Relationship Id="rId7" Type="http://schemas.openxmlformats.org/officeDocument/2006/relationships/hyperlink" Target="mailto:henriquezritchie@hotmail.com" TargetMode="External"/><Relationship Id="rId12" Type="http://schemas.openxmlformats.org/officeDocument/2006/relationships/hyperlink" Target="mailto:jalzate92127@gmail.com" TargetMode="External"/><Relationship Id="rId17" Type="http://schemas.openxmlformats.org/officeDocument/2006/relationships/hyperlink" Target="mailto:edgarisimo45@hotmail.com" TargetMode="External"/><Relationship Id="rId25" Type="http://schemas.openxmlformats.org/officeDocument/2006/relationships/hyperlink" Target="mailto:jnoe.dominguez@gmail.com" TargetMode="External"/><Relationship Id="rId33" Type="http://schemas.openxmlformats.org/officeDocument/2006/relationships/hyperlink" Target="mailto:mayrabarredamay@gmail.com" TargetMode="External"/><Relationship Id="rId2" Type="http://schemas.openxmlformats.org/officeDocument/2006/relationships/hyperlink" Target="mailto:ecruz08@gmail.com" TargetMode="External"/><Relationship Id="rId16" Type="http://schemas.openxmlformats.org/officeDocument/2006/relationships/hyperlink" Target="mailto:quijano581@hotmail.com" TargetMode="External"/><Relationship Id="rId20" Type="http://schemas.openxmlformats.org/officeDocument/2006/relationships/hyperlink" Target="mailto:valeria_vz@yahoo.es" TargetMode="External"/><Relationship Id="rId29" Type="http://schemas.openxmlformats.org/officeDocument/2006/relationships/hyperlink" Target="mailto:blancagues@gmail.com" TargetMode="External"/><Relationship Id="rId1" Type="http://schemas.openxmlformats.org/officeDocument/2006/relationships/hyperlink" Target="mailto:dianae.salcedo@outlook.com" TargetMode="External"/><Relationship Id="rId6" Type="http://schemas.openxmlformats.org/officeDocument/2006/relationships/hyperlink" Target="mailto:jessica14ruiz@hotmail.com" TargetMode="External"/><Relationship Id="rId11" Type="http://schemas.openxmlformats.org/officeDocument/2006/relationships/hyperlink" Target="mailto:daniel_garzia@hotmail.com" TargetMode="External"/><Relationship Id="rId24" Type="http://schemas.openxmlformats.org/officeDocument/2006/relationships/hyperlink" Target="mailto:i.morenozuniga@yahoo.com.mx" TargetMode="External"/><Relationship Id="rId32" Type="http://schemas.openxmlformats.org/officeDocument/2006/relationships/hyperlink" Target="mailto:ari.-alberto@hotmail.com" TargetMode="External"/><Relationship Id="rId5" Type="http://schemas.openxmlformats.org/officeDocument/2006/relationships/hyperlink" Target="mailto:aelmazan2507@gmail.com" TargetMode="External"/><Relationship Id="rId15" Type="http://schemas.openxmlformats.org/officeDocument/2006/relationships/hyperlink" Target="mailto:taniapicos06@gmail.com" TargetMode="External"/><Relationship Id="rId23" Type="http://schemas.openxmlformats.org/officeDocument/2006/relationships/hyperlink" Target="mailto:isabelsantos.risg@gmail.com" TargetMode="External"/><Relationship Id="rId28" Type="http://schemas.openxmlformats.org/officeDocument/2006/relationships/hyperlink" Target="mailto:curielgaxiola@gmail.com" TargetMode="External"/><Relationship Id="rId10" Type="http://schemas.openxmlformats.org/officeDocument/2006/relationships/hyperlink" Target="mailto:damarabenderas@gmail.com" TargetMode="External"/><Relationship Id="rId19" Type="http://schemas.openxmlformats.org/officeDocument/2006/relationships/hyperlink" Target="mailto:frankscapes@yahoo.com" TargetMode="External"/><Relationship Id="rId31" Type="http://schemas.openxmlformats.org/officeDocument/2006/relationships/hyperlink" Target="mailto:ari.-alberto@hotmail.com" TargetMode="External"/><Relationship Id="rId4" Type="http://schemas.openxmlformats.org/officeDocument/2006/relationships/hyperlink" Target="mailto:marthavillasenor77@gmail.com" TargetMode="External"/><Relationship Id="rId9" Type="http://schemas.openxmlformats.org/officeDocument/2006/relationships/hyperlink" Target="mailto:jason.gomez2542@gmail.com" TargetMode="External"/><Relationship Id="rId14" Type="http://schemas.openxmlformats.org/officeDocument/2006/relationships/hyperlink" Target="mailto:jnoe.dominguez@gmail.com" TargetMode="External"/><Relationship Id="rId22" Type="http://schemas.openxmlformats.org/officeDocument/2006/relationships/hyperlink" Target="mailto:oscarestrada1315@gmail.com" TargetMode="External"/><Relationship Id="rId27" Type="http://schemas.openxmlformats.org/officeDocument/2006/relationships/hyperlink" Target="mailto:jgrande1016@gmail.com" TargetMode="External"/><Relationship Id="rId30" Type="http://schemas.openxmlformats.org/officeDocument/2006/relationships/hyperlink" Target="mailto:blancagues@gmail.com" TargetMode="External"/><Relationship Id="rId8" Type="http://schemas.openxmlformats.org/officeDocument/2006/relationships/hyperlink" Target="mailto:jason.gomez254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A2300-3BE6-4BFA-85EC-288A618EF178}">
  <dimension ref="A1:K260"/>
  <sheetViews>
    <sheetView tabSelected="1" zoomScale="61" workbookViewId="0">
      <selection activeCell="L15" sqref="L15"/>
    </sheetView>
  </sheetViews>
  <sheetFormatPr baseColWidth="10" defaultRowHeight="15.75"/>
  <cols>
    <col min="1" max="1" width="3.85546875" bestFit="1" customWidth="1"/>
    <col min="2" max="2" width="59.140625" bestFit="1" customWidth="1"/>
    <col min="5" max="5" width="11.42578125" style="1"/>
    <col min="7" max="7" width="18.140625" bestFit="1" customWidth="1"/>
    <col min="8" max="8" width="18.5703125" customWidth="1"/>
    <col min="9" max="9" width="18.5703125" style="2" customWidth="1"/>
    <col min="10" max="10" width="23.85546875" style="6" bestFit="1" customWidth="1"/>
    <col min="11" max="11" width="38.5703125" style="1" bestFit="1" customWidth="1"/>
  </cols>
  <sheetData>
    <row r="1" spans="1:11" ht="16.5" thickBot="1"/>
    <row r="2" spans="1:11" s="4" customFormat="1" ht="16.5" thickBot="1">
      <c r="B2" s="3" t="s">
        <v>0</v>
      </c>
      <c r="C2" s="7" t="s">
        <v>1</v>
      </c>
      <c r="D2" s="8" t="s">
        <v>2</v>
      </c>
      <c r="E2" s="9" t="s">
        <v>3</v>
      </c>
      <c r="F2" s="10" t="s">
        <v>4</v>
      </c>
      <c r="G2" s="11" t="s">
        <v>5</v>
      </c>
      <c r="H2" s="12" t="s">
        <v>6</v>
      </c>
      <c r="I2" s="13"/>
      <c r="J2" s="65" t="s">
        <v>7</v>
      </c>
      <c r="K2" s="66"/>
    </row>
    <row r="3" spans="1:11">
      <c r="A3" s="74">
        <v>1</v>
      </c>
      <c r="B3" s="67" t="s">
        <v>8</v>
      </c>
      <c r="C3" s="14">
        <v>5</v>
      </c>
      <c r="D3" s="15">
        <v>3</v>
      </c>
      <c r="E3" s="16">
        <v>600</v>
      </c>
      <c r="F3" s="17">
        <f>+G3/E3</f>
        <v>60</v>
      </c>
      <c r="G3" s="18">
        <v>36000</v>
      </c>
      <c r="H3" s="19" t="s">
        <v>9</v>
      </c>
      <c r="I3" s="64">
        <v>6461137249</v>
      </c>
      <c r="J3" s="20"/>
      <c r="K3" s="21" t="s">
        <v>10</v>
      </c>
    </row>
    <row r="4" spans="1:11">
      <c r="A4" s="75">
        <v>2</v>
      </c>
      <c r="B4" s="68" t="s">
        <v>11</v>
      </c>
      <c r="C4" s="22">
        <v>1</v>
      </c>
      <c r="D4" s="23">
        <v>3</v>
      </c>
      <c r="E4" s="24">
        <v>563</v>
      </c>
      <c r="F4" s="25">
        <f t="shared" ref="F4:F30" si="0">+G4/E4</f>
        <v>70</v>
      </c>
      <c r="G4" s="26">
        <v>39410</v>
      </c>
      <c r="H4" s="27" t="s">
        <v>9</v>
      </c>
      <c r="I4" s="28" t="s">
        <v>12</v>
      </c>
      <c r="J4" s="29"/>
      <c r="K4" s="30" t="s">
        <v>13</v>
      </c>
    </row>
    <row r="5" spans="1:11">
      <c r="A5" s="75">
        <v>3</v>
      </c>
      <c r="B5" s="68" t="s">
        <v>14</v>
      </c>
      <c r="C5" s="22">
        <v>4</v>
      </c>
      <c r="D5" s="23">
        <v>3</v>
      </c>
      <c r="E5" s="24">
        <v>600</v>
      </c>
      <c r="F5" s="25">
        <f t="shared" si="0"/>
        <v>65.683333333333337</v>
      </c>
      <c r="G5" s="26">
        <v>39410</v>
      </c>
      <c r="H5" s="31" t="s">
        <v>15</v>
      </c>
      <c r="I5" s="28" t="s">
        <v>16</v>
      </c>
      <c r="J5" s="29"/>
      <c r="K5" s="32" t="s">
        <v>17</v>
      </c>
    </row>
    <row r="6" spans="1:11">
      <c r="A6" s="75">
        <v>4</v>
      </c>
      <c r="B6" s="68" t="s">
        <v>18</v>
      </c>
      <c r="C6" s="22" t="s">
        <v>19</v>
      </c>
      <c r="D6" s="23">
        <v>4</v>
      </c>
      <c r="E6" s="24">
        <v>2326</v>
      </c>
      <c r="F6" s="25">
        <f t="shared" si="0"/>
        <v>47.291487532244197</v>
      </c>
      <c r="G6" s="26">
        <v>110000</v>
      </c>
      <c r="H6" s="33" t="s">
        <v>15</v>
      </c>
      <c r="I6" s="28" t="s">
        <v>20</v>
      </c>
      <c r="J6" s="29"/>
      <c r="K6" s="30" t="s">
        <v>21</v>
      </c>
    </row>
    <row r="7" spans="1:11">
      <c r="A7" s="75">
        <v>5</v>
      </c>
      <c r="B7" s="68" t="s">
        <v>22</v>
      </c>
      <c r="C7" s="22">
        <v>8</v>
      </c>
      <c r="D7" s="23">
        <v>3</v>
      </c>
      <c r="E7" s="24">
        <v>600</v>
      </c>
      <c r="F7" s="25">
        <f t="shared" si="0"/>
        <v>73</v>
      </c>
      <c r="G7" s="26">
        <v>43800</v>
      </c>
      <c r="H7" s="33" t="s">
        <v>9</v>
      </c>
      <c r="I7" s="28" t="s">
        <v>23</v>
      </c>
      <c r="J7" s="29"/>
      <c r="K7" s="32" t="s">
        <v>24</v>
      </c>
    </row>
    <row r="8" spans="1:11">
      <c r="A8" s="75">
        <v>6</v>
      </c>
      <c r="B8" s="68" t="s">
        <v>25</v>
      </c>
      <c r="C8" s="22">
        <v>18</v>
      </c>
      <c r="D8" s="23">
        <v>1</v>
      </c>
      <c r="E8" s="24">
        <v>946</v>
      </c>
      <c r="F8" s="25">
        <f t="shared" si="0"/>
        <v>60</v>
      </c>
      <c r="G8" s="26">
        <v>56760</v>
      </c>
      <c r="H8" s="33" t="s">
        <v>15</v>
      </c>
      <c r="I8" s="28" t="s">
        <v>26</v>
      </c>
      <c r="J8" s="29"/>
      <c r="K8" s="34" t="s">
        <v>27</v>
      </c>
    </row>
    <row r="9" spans="1:11">
      <c r="A9" s="75">
        <v>7</v>
      </c>
      <c r="B9" s="68" t="s">
        <v>28</v>
      </c>
      <c r="C9" s="22">
        <v>9</v>
      </c>
      <c r="D9" s="23">
        <v>6</v>
      </c>
      <c r="E9" s="24">
        <v>822</v>
      </c>
      <c r="F9" s="25">
        <f t="shared" si="0"/>
        <v>70</v>
      </c>
      <c r="G9" s="26">
        <v>57540</v>
      </c>
      <c r="H9" s="33" t="s">
        <v>9</v>
      </c>
      <c r="I9" s="28" t="s">
        <v>29</v>
      </c>
      <c r="J9" s="29"/>
      <c r="K9" s="34" t="s">
        <v>30</v>
      </c>
    </row>
    <row r="10" spans="1:11">
      <c r="A10" s="75">
        <v>8</v>
      </c>
      <c r="B10" s="68" t="s">
        <v>31</v>
      </c>
      <c r="C10" s="22">
        <v>9</v>
      </c>
      <c r="D10" s="23">
        <v>3</v>
      </c>
      <c r="E10" s="24">
        <v>600</v>
      </c>
      <c r="F10" s="25">
        <f t="shared" si="0"/>
        <v>63</v>
      </c>
      <c r="G10" s="26">
        <v>37800</v>
      </c>
      <c r="H10" s="33" t="s">
        <v>9</v>
      </c>
      <c r="I10" s="28" t="s">
        <v>32</v>
      </c>
      <c r="J10" s="29"/>
      <c r="K10" s="32" t="s">
        <v>33</v>
      </c>
    </row>
    <row r="11" spans="1:11">
      <c r="A11" s="75">
        <v>9</v>
      </c>
      <c r="B11" s="68" t="s">
        <v>34</v>
      </c>
      <c r="C11" s="22">
        <v>23</v>
      </c>
      <c r="D11" s="23">
        <v>6</v>
      </c>
      <c r="E11" s="24">
        <v>1015.15</v>
      </c>
      <c r="F11" s="25">
        <f t="shared" si="0"/>
        <v>64.02994631335271</v>
      </c>
      <c r="G11" s="26">
        <v>65000</v>
      </c>
      <c r="H11" s="33" t="s">
        <v>15</v>
      </c>
      <c r="I11" s="28" t="s">
        <v>35</v>
      </c>
      <c r="J11" s="29"/>
      <c r="K11" s="35" t="s">
        <v>36</v>
      </c>
    </row>
    <row r="12" spans="1:11">
      <c r="A12" s="75">
        <v>10</v>
      </c>
      <c r="B12" s="68" t="s">
        <v>37</v>
      </c>
      <c r="C12" s="22">
        <v>11</v>
      </c>
      <c r="D12" s="23">
        <v>1</v>
      </c>
      <c r="E12" s="24">
        <v>989.71299999999997</v>
      </c>
      <c r="F12" s="25">
        <f t="shared" si="0"/>
        <v>71.854507316767581</v>
      </c>
      <c r="G12" s="26">
        <v>71115.34</v>
      </c>
      <c r="H12" s="33" t="s">
        <v>15</v>
      </c>
      <c r="I12" s="28" t="s">
        <v>38</v>
      </c>
      <c r="J12" s="29"/>
      <c r="K12" s="35" t="s">
        <v>39</v>
      </c>
    </row>
    <row r="13" spans="1:11">
      <c r="A13" s="75">
        <v>11</v>
      </c>
      <c r="B13" s="68" t="s">
        <v>37</v>
      </c>
      <c r="C13" s="22">
        <v>12</v>
      </c>
      <c r="D13" s="23">
        <v>1</v>
      </c>
      <c r="E13" s="24">
        <v>600</v>
      </c>
      <c r="F13" s="25">
        <f t="shared" si="0"/>
        <v>70</v>
      </c>
      <c r="G13" s="26">
        <v>42000</v>
      </c>
      <c r="H13" s="33" t="s">
        <v>15</v>
      </c>
      <c r="I13" s="28" t="s">
        <v>38</v>
      </c>
      <c r="J13" s="29"/>
      <c r="K13" s="35" t="s">
        <v>39</v>
      </c>
    </row>
    <row r="14" spans="1:11">
      <c r="A14" s="75">
        <v>12</v>
      </c>
      <c r="B14" s="68" t="s">
        <v>40</v>
      </c>
      <c r="C14" s="22">
        <v>22</v>
      </c>
      <c r="D14" s="23">
        <v>2</v>
      </c>
      <c r="E14" s="24">
        <v>420</v>
      </c>
      <c r="F14" s="25">
        <f>+G14/E14</f>
        <v>73</v>
      </c>
      <c r="G14" s="26">
        <v>30660</v>
      </c>
      <c r="H14" s="33" t="s">
        <v>9</v>
      </c>
      <c r="I14" s="28" t="s">
        <v>41</v>
      </c>
      <c r="J14" s="29"/>
      <c r="K14" s="34" t="s">
        <v>42</v>
      </c>
    </row>
    <row r="15" spans="1:11">
      <c r="A15" s="75">
        <v>13</v>
      </c>
      <c r="B15" s="68" t="s">
        <v>43</v>
      </c>
      <c r="C15" s="22">
        <v>2</v>
      </c>
      <c r="D15" s="23">
        <v>5</v>
      </c>
      <c r="E15" s="24">
        <v>968.38</v>
      </c>
      <c r="F15" s="25">
        <f t="shared" si="0"/>
        <v>75</v>
      </c>
      <c r="G15" s="26">
        <v>72628.5</v>
      </c>
      <c r="H15" s="33" t="s">
        <v>15</v>
      </c>
      <c r="I15" s="28" t="s">
        <v>44</v>
      </c>
      <c r="J15" s="29"/>
      <c r="K15" s="32" t="s">
        <v>45</v>
      </c>
    </row>
    <row r="16" spans="1:11">
      <c r="A16" s="75">
        <v>14</v>
      </c>
      <c r="B16" s="68" t="s">
        <v>46</v>
      </c>
      <c r="C16" s="22">
        <v>7</v>
      </c>
      <c r="D16" s="23">
        <v>3</v>
      </c>
      <c r="E16" s="24">
        <v>611.86</v>
      </c>
      <c r="F16" s="25">
        <f t="shared" si="0"/>
        <v>72.565619586179849</v>
      </c>
      <c r="G16" s="26">
        <v>44400</v>
      </c>
      <c r="H16" s="33" t="s">
        <v>15</v>
      </c>
      <c r="I16" s="28" t="s">
        <v>47</v>
      </c>
      <c r="J16" s="29"/>
      <c r="K16" s="34" t="s">
        <v>48</v>
      </c>
    </row>
    <row r="17" spans="1:11">
      <c r="A17" s="75">
        <v>15</v>
      </c>
      <c r="B17" s="68" t="s">
        <v>37</v>
      </c>
      <c r="C17" s="22">
        <v>1</v>
      </c>
      <c r="D17" s="23">
        <v>1</v>
      </c>
      <c r="E17" s="24">
        <v>535.79999999999995</v>
      </c>
      <c r="F17" s="25">
        <f t="shared" si="0"/>
        <v>74.580067189249732</v>
      </c>
      <c r="G17" s="26">
        <v>39960</v>
      </c>
      <c r="H17" s="33" t="s">
        <v>15</v>
      </c>
      <c r="I17" s="28" t="s">
        <v>38</v>
      </c>
      <c r="J17" s="29"/>
      <c r="K17" s="32" t="s">
        <v>39</v>
      </c>
    </row>
    <row r="18" spans="1:11">
      <c r="A18" s="75">
        <v>16</v>
      </c>
      <c r="B18" s="68" t="s">
        <v>49</v>
      </c>
      <c r="C18" s="22">
        <v>10</v>
      </c>
      <c r="D18" s="23">
        <v>3</v>
      </c>
      <c r="E18" s="24">
        <v>600</v>
      </c>
      <c r="F18" s="25">
        <f t="shared" si="0"/>
        <v>73</v>
      </c>
      <c r="G18" s="26">
        <v>43800</v>
      </c>
      <c r="H18" s="33" t="s">
        <v>15</v>
      </c>
      <c r="I18" s="28" t="s">
        <v>50</v>
      </c>
      <c r="J18" s="29"/>
      <c r="K18" s="30" t="s">
        <v>51</v>
      </c>
    </row>
    <row r="19" spans="1:11">
      <c r="A19" s="75">
        <v>17</v>
      </c>
      <c r="B19" s="68" t="s">
        <v>52</v>
      </c>
      <c r="C19" s="22">
        <v>11</v>
      </c>
      <c r="D19" s="23">
        <v>3</v>
      </c>
      <c r="E19" s="24">
        <v>797.82</v>
      </c>
      <c r="F19" s="25">
        <f t="shared" si="0"/>
        <v>68</v>
      </c>
      <c r="G19" s="26">
        <v>54251.76</v>
      </c>
      <c r="H19" s="33" t="s">
        <v>15</v>
      </c>
      <c r="I19" s="28" t="s">
        <v>53</v>
      </c>
      <c r="J19" s="29"/>
      <c r="K19" s="32" t="s">
        <v>54</v>
      </c>
    </row>
    <row r="20" spans="1:11">
      <c r="A20" s="75">
        <v>18</v>
      </c>
      <c r="B20" s="69" t="s">
        <v>55</v>
      </c>
      <c r="C20" s="36">
        <v>22</v>
      </c>
      <c r="D20" s="37">
        <v>6</v>
      </c>
      <c r="E20" s="38">
        <v>1557.57</v>
      </c>
      <c r="F20" s="25">
        <f t="shared" si="0"/>
        <v>75</v>
      </c>
      <c r="G20" s="39">
        <v>116817.75</v>
      </c>
      <c r="H20" s="40" t="s">
        <v>9</v>
      </c>
      <c r="I20" s="41" t="s">
        <v>56</v>
      </c>
      <c r="J20" s="42"/>
      <c r="K20" s="32" t="s">
        <v>57</v>
      </c>
    </row>
    <row r="21" spans="1:11">
      <c r="A21" s="75">
        <v>19</v>
      </c>
      <c r="B21" s="70" t="s">
        <v>58</v>
      </c>
      <c r="C21" s="36">
        <v>21</v>
      </c>
      <c r="D21" s="37">
        <v>6</v>
      </c>
      <c r="E21" s="38">
        <v>1703.25</v>
      </c>
      <c r="F21" s="25">
        <f t="shared" si="0"/>
        <v>78.00022897402026</v>
      </c>
      <c r="G21" s="43">
        <v>132853.89000000001</v>
      </c>
      <c r="H21" s="27" t="s">
        <v>15</v>
      </c>
      <c r="I21" s="44" t="s">
        <v>59</v>
      </c>
      <c r="J21" s="29"/>
      <c r="K21" s="45" t="s">
        <v>60</v>
      </c>
    </row>
    <row r="22" spans="1:11">
      <c r="A22" s="75">
        <v>20</v>
      </c>
      <c r="B22" s="69" t="s">
        <v>61</v>
      </c>
      <c r="C22" s="36">
        <v>18</v>
      </c>
      <c r="D22" s="37">
        <v>2</v>
      </c>
      <c r="E22" s="38">
        <v>600</v>
      </c>
      <c r="F22" s="25">
        <f t="shared" si="0"/>
        <v>77</v>
      </c>
      <c r="G22" s="39">
        <v>46200</v>
      </c>
      <c r="H22" s="40" t="s">
        <v>15</v>
      </c>
      <c r="I22" s="41" t="s">
        <v>62</v>
      </c>
      <c r="J22" s="42"/>
      <c r="K22" s="32" t="s">
        <v>63</v>
      </c>
    </row>
    <row r="23" spans="1:11">
      <c r="A23" s="75">
        <v>21</v>
      </c>
      <c r="B23" s="69" t="s">
        <v>64</v>
      </c>
      <c r="C23" s="36">
        <v>20</v>
      </c>
      <c r="D23" s="37">
        <v>3</v>
      </c>
      <c r="E23" s="38">
        <v>662.36</v>
      </c>
      <c r="F23" s="25">
        <f t="shared" si="0"/>
        <v>73.068874932061121</v>
      </c>
      <c r="G23" s="39">
        <v>48397.9</v>
      </c>
      <c r="H23" s="40" t="s">
        <v>9</v>
      </c>
      <c r="I23" s="41" t="s">
        <v>65</v>
      </c>
      <c r="J23" s="42"/>
      <c r="K23" s="35" t="s">
        <v>66</v>
      </c>
    </row>
    <row r="24" spans="1:11" ht="18.75" customHeight="1">
      <c r="A24" s="75">
        <v>22</v>
      </c>
      <c r="B24" s="69" t="s">
        <v>67</v>
      </c>
      <c r="C24" s="36">
        <v>23</v>
      </c>
      <c r="D24" s="37">
        <v>3</v>
      </c>
      <c r="E24" s="38">
        <v>700</v>
      </c>
      <c r="F24" s="25">
        <f t="shared" si="0"/>
        <v>70</v>
      </c>
      <c r="G24" s="39">
        <v>49000</v>
      </c>
      <c r="H24" s="40" t="s">
        <v>15</v>
      </c>
      <c r="I24" s="41" t="s">
        <v>68</v>
      </c>
      <c r="J24" s="63" t="s">
        <v>69</v>
      </c>
      <c r="K24" s="46" t="s">
        <v>70</v>
      </c>
    </row>
    <row r="25" spans="1:11">
      <c r="A25" s="75">
        <v>23</v>
      </c>
      <c r="B25" s="69" t="s">
        <v>71</v>
      </c>
      <c r="C25" s="36">
        <v>13</v>
      </c>
      <c r="D25" s="37">
        <v>3</v>
      </c>
      <c r="E25" s="38">
        <v>501.32</v>
      </c>
      <c r="F25" s="25">
        <f t="shared" si="0"/>
        <v>44.999202106439</v>
      </c>
      <c r="G25" s="39">
        <v>22559</v>
      </c>
      <c r="H25" s="40" t="s">
        <v>9</v>
      </c>
      <c r="I25" s="41" t="s">
        <v>72</v>
      </c>
      <c r="J25" s="42"/>
      <c r="K25" s="46" t="s">
        <v>73</v>
      </c>
    </row>
    <row r="26" spans="1:11">
      <c r="A26" s="75">
        <v>24</v>
      </c>
      <c r="B26" s="68" t="s">
        <v>74</v>
      </c>
      <c r="C26" s="22">
        <v>6</v>
      </c>
      <c r="D26" s="23">
        <v>3</v>
      </c>
      <c r="E26" s="24">
        <v>650.5</v>
      </c>
      <c r="F26" s="25">
        <f t="shared" si="0"/>
        <v>59.953881629515756</v>
      </c>
      <c r="G26" s="26">
        <v>39000</v>
      </c>
      <c r="H26" s="33" t="s">
        <v>9</v>
      </c>
      <c r="I26" s="28" t="s">
        <v>75</v>
      </c>
      <c r="J26" s="29"/>
      <c r="K26" s="30" t="s">
        <v>76</v>
      </c>
    </row>
    <row r="27" spans="1:11">
      <c r="A27" s="75">
        <v>25</v>
      </c>
      <c r="B27" s="68" t="s">
        <v>77</v>
      </c>
      <c r="C27" s="22">
        <v>11</v>
      </c>
      <c r="D27" s="23">
        <v>2</v>
      </c>
      <c r="E27" s="24">
        <v>630.48</v>
      </c>
      <c r="F27" s="25">
        <f t="shared" si="0"/>
        <v>49.961933764750661</v>
      </c>
      <c r="G27" s="26">
        <v>31500</v>
      </c>
      <c r="H27" s="33" t="s">
        <v>15</v>
      </c>
      <c r="I27" s="28" t="s">
        <v>78</v>
      </c>
      <c r="J27" s="29"/>
      <c r="K27" s="46" t="s">
        <v>79</v>
      </c>
    </row>
    <row r="28" spans="1:11">
      <c r="A28" s="75">
        <v>26</v>
      </c>
      <c r="B28" s="68" t="s">
        <v>80</v>
      </c>
      <c r="C28" s="22">
        <v>22</v>
      </c>
      <c r="D28" s="23">
        <v>3</v>
      </c>
      <c r="E28" s="24">
        <v>701</v>
      </c>
      <c r="F28" s="25">
        <f t="shared" si="0"/>
        <v>64</v>
      </c>
      <c r="G28" s="26">
        <v>44864</v>
      </c>
      <c r="H28" s="33" t="s">
        <v>15</v>
      </c>
      <c r="I28" s="28" t="s">
        <v>81</v>
      </c>
      <c r="J28" s="29"/>
      <c r="K28" s="46" t="s">
        <v>82</v>
      </c>
    </row>
    <row r="29" spans="1:11">
      <c r="A29" s="75">
        <v>27</v>
      </c>
      <c r="B29" s="68" t="s">
        <v>83</v>
      </c>
      <c r="C29" s="22">
        <v>21</v>
      </c>
      <c r="D29" s="23">
        <v>3</v>
      </c>
      <c r="E29" s="24">
        <v>941.4</v>
      </c>
      <c r="F29" s="25">
        <f t="shared" si="0"/>
        <v>64</v>
      </c>
      <c r="G29" s="26">
        <v>60249.599999999999</v>
      </c>
      <c r="H29" s="33" t="s">
        <v>15</v>
      </c>
      <c r="I29" s="28" t="s">
        <v>84</v>
      </c>
      <c r="J29" s="29"/>
      <c r="K29" s="30" t="s">
        <v>85</v>
      </c>
    </row>
    <row r="30" spans="1:11">
      <c r="A30" s="75">
        <v>28</v>
      </c>
      <c r="B30" s="68" t="s">
        <v>86</v>
      </c>
      <c r="C30" s="22">
        <v>15</v>
      </c>
      <c r="D30" s="23">
        <v>2</v>
      </c>
      <c r="E30" s="24">
        <v>600</v>
      </c>
      <c r="F30" s="25">
        <f t="shared" si="0"/>
        <v>45</v>
      </c>
      <c r="G30" s="26">
        <v>27000</v>
      </c>
      <c r="H30" s="33" t="s">
        <v>15</v>
      </c>
      <c r="I30" s="28" t="s">
        <v>87</v>
      </c>
      <c r="J30" s="47" t="s">
        <v>88</v>
      </c>
      <c r="K30" s="30" t="s">
        <v>89</v>
      </c>
    </row>
    <row r="31" spans="1:11">
      <c r="A31" s="75">
        <v>29</v>
      </c>
      <c r="B31" s="68" t="s">
        <v>90</v>
      </c>
      <c r="C31" s="22">
        <v>18</v>
      </c>
      <c r="D31" s="23">
        <v>3</v>
      </c>
      <c r="E31" s="24">
        <v>545.9</v>
      </c>
      <c r="F31" s="25">
        <v>77</v>
      </c>
      <c r="G31" s="26">
        <f>E31*F31</f>
        <v>42034.299999999996</v>
      </c>
      <c r="H31" s="33" t="s">
        <v>15</v>
      </c>
      <c r="I31" s="28" t="s">
        <v>91</v>
      </c>
      <c r="J31" s="29"/>
      <c r="K31" s="30" t="s">
        <v>92</v>
      </c>
    </row>
    <row r="32" spans="1:11">
      <c r="A32" s="75">
        <v>30</v>
      </c>
      <c r="B32" s="68" t="s">
        <v>93</v>
      </c>
      <c r="C32" s="22">
        <v>3</v>
      </c>
      <c r="D32" s="23">
        <v>1</v>
      </c>
      <c r="E32" s="24">
        <v>600</v>
      </c>
      <c r="F32" s="25">
        <f>G32/E32</f>
        <v>67</v>
      </c>
      <c r="G32" s="26">
        <v>40200</v>
      </c>
      <c r="H32" s="33" t="s">
        <v>9</v>
      </c>
      <c r="I32" s="28" t="s">
        <v>94</v>
      </c>
      <c r="J32" s="29"/>
      <c r="K32" s="35" t="s">
        <v>95</v>
      </c>
    </row>
    <row r="33" spans="1:11">
      <c r="A33" s="75">
        <v>31</v>
      </c>
      <c r="B33" s="68" t="s">
        <v>96</v>
      </c>
      <c r="C33" s="22">
        <v>1</v>
      </c>
      <c r="D33" s="23">
        <v>6</v>
      </c>
      <c r="E33" s="24">
        <v>851.69</v>
      </c>
      <c r="F33" s="25">
        <f>G33/E33</f>
        <v>63.99323697589498</v>
      </c>
      <c r="G33" s="26">
        <v>54502.400000000001</v>
      </c>
      <c r="H33" s="33" t="s">
        <v>9</v>
      </c>
      <c r="I33" s="28" t="s">
        <v>97</v>
      </c>
      <c r="J33" s="29"/>
      <c r="K33" s="30" t="s">
        <v>98</v>
      </c>
    </row>
    <row r="34" spans="1:11">
      <c r="A34" s="75">
        <v>32</v>
      </c>
      <c r="B34" s="68" t="s">
        <v>99</v>
      </c>
      <c r="C34" s="22">
        <v>14</v>
      </c>
      <c r="D34" s="23">
        <v>2</v>
      </c>
      <c r="E34" s="24">
        <v>600</v>
      </c>
      <c r="F34" s="25">
        <f>G34/E34</f>
        <v>75</v>
      </c>
      <c r="G34" s="26">
        <v>45000</v>
      </c>
      <c r="H34" s="33" t="s">
        <v>15</v>
      </c>
      <c r="I34" s="28" t="s">
        <v>100</v>
      </c>
      <c r="J34" s="29"/>
      <c r="K34" s="30" t="s">
        <v>101</v>
      </c>
    </row>
    <row r="35" spans="1:11">
      <c r="A35" s="75">
        <v>33</v>
      </c>
      <c r="B35" s="68" t="s">
        <v>102</v>
      </c>
      <c r="C35" s="22">
        <v>15</v>
      </c>
      <c r="D35" s="23">
        <v>3</v>
      </c>
      <c r="E35" s="24">
        <v>600</v>
      </c>
      <c r="F35" s="25">
        <f>G35/E35</f>
        <v>75</v>
      </c>
      <c r="G35" s="26">
        <v>45000</v>
      </c>
      <c r="H35" s="33" t="s">
        <v>9</v>
      </c>
      <c r="I35" s="28" t="s">
        <v>103</v>
      </c>
      <c r="J35" s="29"/>
      <c r="K35" s="34" t="s">
        <v>69</v>
      </c>
    </row>
    <row r="36" spans="1:11">
      <c r="A36" s="75">
        <v>34</v>
      </c>
      <c r="B36" s="68" t="s">
        <v>104</v>
      </c>
      <c r="C36" s="22">
        <v>2</v>
      </c>
      <c r="D36" s="23">
        <v>3</v>
      </c>
      <c r="E36" s="24">
        <v>600</v>
      </c>
      <c r="F36" s="25">
        <f t="shared" ref="F36:F55" si="1">G36/E36</f>
        <v>75</v>
      </c>
      <c r="G36" s="26">
        <v>45000</v>
      </c>
      <c r="H36" s="33" t="s">
        <v>9</v>
      </c>
      <c r="I36" s="28" t="s">
        <v>103</v>
      </c>
      <c r="J36" s="29"/>
      <c r="K36" s="34" t="s">
        <v>105</v>
      </c>
    </row>
    <row r="37" spans="1:11">
      <c r="A37" s="75">
        <v>35</v>
      </c>
      <c r="B37" s="68" t="s">
        <v>106</v>
      </c>
      <c r="C37" s="22">
        <v>14</v>
      </c>
      <c r="D37" s="23">
        <v>3</v>
      </c>
      <c r="E37" s="24">
        <v>600</v>
      </c>
      <c r="F37" s="25">
        <f t="shared" si="1"/>
        <v>75</v>
      </c>
      <c r="G37" s="26">
        <v>45000</v>
      </c>
      <c r="H37" s="33" t="s">
        <v>9</v>
      </c>
      <c r="I37" s="28" t="s">
        <v>107</v>
      </c>
      <c r="J37" s="29"/>
      <c r="K37" s="34" t="s">
        <v>108</v>
      </c>
    </row>
    <row r="38" spans="1:11">
      <c r="A38" s="75">
        <v>36</v>
      </c>
      <c r="B38" s="68" t="s">
        <v>106</v>
      </c>
      <c r="C38" s="22">
        <v>3</v>
      </c>
      <c r="D38" s="23">
        <v>3</v>
      </c>
      <c r="E38" s="24">
        <v>600</v>
      </c>
      <c r="F38" s="25">
        <f>G38/E38</f>
        <v>75</v>
      </c>
      <c r="G38" s="26">
        <v>45000</v>
      </c>
      <c r="H38" s="33" t="s">
        <v>9</v>
      </c>
      <c r="I38" s="28" t="s">
        <v>107</v>
      </c>
      <c r="J38" s="29"/>
      <c r="K38" s="34" t="s">
        <v>109</v>
      </c>
    </row>
    <row r="39" spans="1:11">
      <c r="A39" s="75">
        <v>37</v>
      </c>
      <c r="B39" s="71" t="s">
        <v>110</v>
      </c>
      <c r="C39" s="48">
        <v>12</v>
      </c>
      <c r="D39" s="49">
        <v>3</v>
      </c>
      <c r="E39" s="24">
        <v>600</v>
      </c>
      <c r="F39" s="25">
        <f t="shared" si="1"/>
        <v>85</v>
      </c>
      <c r="G39" s="43">
        <v>51000</v>
      </c>
      <c r="H39" s="27" t="s">
        <v>9</v>
      </c>
      <c r="I39" s="44" t="s">
        <v>111</v>
      </c>
      <c r="J39" s="29"/>
      <c r="K39" s="34" t="s">
        <v>112</v>
      </c>
    </row>
    <row r="40" spans="1:11">
      <c r="A40" s="75">
        <v>38</v>
      </c>
      <c r="B40" s="68" t="s">
        <v>113</v>
      </c>
      <c r="C40" s="22">
        <v>17</v>
      </c>
      <c r="D40" s="23">
        <v>1</v>
      </c>
      <c r="E40" s="24">
        <v>600</v>
      </c>
      <c r="F40" s="50">
        <f t="shared" si="1"/>
        <v>67.5</v>
      </c>
      <c r="G40" s="26">
        <v>40500</v>
      </c>
      <c r="H40" s="33" t="s">
        <v>15</v>
      </c>
      <c r="I40" s="28" t="s">
        <v>114</v>
      </c>
      <c r="J40" s="29"/>
      <c r="K40" s="34" t="s">
        <v>115</v>
      </c>
    </row>
    <row r="41" spans="1:11">
      <c r="A41" s="75">
        <v>39</v>
      </c>
      <c r="B41" s="68" t="s">
        <v>52</v>
      </c>
      <c r="C41" s="22">
        <v>8</v>
      </c>
      <c r="D41" s="23">
        <v>1</v>
      </c>
      <c r="E41" s="24">
        <v>600</v>
      </c>
      <c r="F41" s="25">
        <f t="shared" si="1"/>
        <v>40</v>
      </c>
      <c r="G41" s="26">
        <v>24000</v>
      </c>
      <c r="H41" s="33" t="s">
        <v>15</v>
      </c>
      <c r="I41" s="28" t="s">
        <v>53</v>
      </c>
      <c r="J41" s="29"/>
      <c r="K41" s="30" t="s">
        <v>116</v>
      </c>
    </row>
    <row r="42" spans="1:11">
      <c r="A42" s="75">
        <v>40</v>
      </c>
      <c r="B42" s="68" t="s">
        <v>117</v>
      </c>
      <c r="C42" s="22">
        <v>12</v>
      </c>
      <c r="D42" s="23">
        <v>2</v>
      </c>
      <c r="E42" s="24">
        <v>476.4</v>
      </c>
      <c r="F42" s="25">
        <f t="shared" si="1"/>
        <v>85</v>
      </c>
      <c r="G42" s="26">
        <v>40494</v>
      </c>
      <c r="H42" s="51" t="s">
        <v>9</v>
      </c>
      <c r="I42" s="28" t="s">
        <v>118</v>
      </c>
      <c r="J42" s="29"/>
      <c r="K42" s="30" t="s">
        <v>119</v>
      </c>
    </row>
    <row r="43" spans="1:11">
      <c r="A43" s="75">
        <v>41</v>
      </c>
      <c r="B43" s="68" t="s">
        <v>120</v>
      </c>
      <c r="C43" s="22">
        <v>7</v>
      </c>
      <c r="D43" s="23">
        <v>1</v>
      </c>
      <c r="E43" s="24">
        <v>600</v>
      </c>
      <c r="F43" s="25">
        <f t="shared" si="1"/>
        <v>46.666666666666664</v>
      </c>
      <c r="G43" s="26">
        <v>28000</v>
      </c>
      <c r="H43" s="33" t="s">
        <v>9</v>
      </c>
      <c r="I43" s="28" t="s">
        <v>121</v>
      </c>
      <c r="J43" s="29"/>
      <c r="K43" s="30" t="s">
        <v>122</v>
      </c>
    </row>
    <row r="44" spans="1:11">
      <c r="A44" s="75">
        <v>42</v>
      </c>
      <c r="B44" s="68" t="s">
        <v>120</v>
      </c>
      <c r="C44" s="22">
        <v>16</v>
      </c>
      <c r="D44" s="23">
        <v>1</v>
      </c>
      <c r="E44" s="24">
        <v>600</v>
      </c>
      <c r="F44" s="25">
        <f t="shared" si="1"/>
        <v>50</v>
      </c>
      <c r="G44" s="26">
        <v>30000</v>
      </c>
      <c r="H44" s="33" t="s">
        <v>9</v>
      </c>
      <c r="I44" s="28" t="s">
        <v>121</v>
      </c>
      <c r="J44" s="29"/>
      <c r="K44" s="30" t="s">
        <v>122</v>
      </c>
    </row>
    <row r="45" spans="1:11">
      <c r="A45" s="75">
        <v>43</v>
      </c>
      <c r="B45" s="68" t="s">
        <v>123</v>
      </c>
      <c r="C45" s="22">
        <v>17</v>
      </c>
      <c r="D45" s="23">
        <v>2</v>
      </c>
      <c r="E45" s="24">
        <v>581.1</v>
      </c>
      <c r="F45" s="25">
        <f t="shared" si="1"/>
        <v>100</v>
      </c>
      <c r="G45" s="26">
        <v>58110</v>
      </c>
      <c r="H45" s="33" t="s">
        <v>9</v>
      </c>
      <c r="I45" s="28" t="s">
        <v>124</v>
      </c>
      <c r="J45" s="29"/>
      <c r="K45" s="30" t="s">
        <v>125</v>
      </c>
    </row>
    <row r="46" spans="1:11">
      <c r="A46" s="75">
        <v>44</v>
      </c>
      <c r="B46" s="68" t="s">
        <v>126</v>
      </c>
      <c r="C46" s="22">
        <v>8</v>
      </c>
      <c r="D46" s="23">
        <v>1</v>
      </c>
      <c r="E46" s="24">
        <v>600</v>
      </c>
      <c r="F46" s="25">
        <f t="shared" si="1"/>
        <v>43.333333333333336</v>
      </c>
      <c r="G46" s="26">
        <v>26000</v>
      </c>
      <c r="H46" s="33" t="s">
        <v>15</v>
      </c>
      <c r="I46" s="28" t="s">
        <v>127</v>
      </c>
      <c r="J46" s="29"/>
      <c r="K46" s="34" t="s">
        <v>128</v>
      </c>
    </row>
    <row r="47" spans="1:11">
      <c r="A47" s="75">
        <v>45</v>
      </c>
      <c r="B47" s="68" t="s">
        <v>93</v>
      </c>
      <c r="C47" s="22">
        <v>2</v>
      </c>
      <c r="D47" s="23">
        <v>1</v>
      </c>
      <c r="E47" s="24">
        <v>600</v>
      </c>
      <c r="F47" s="50">
        <f t="shared" si="1"/>
        <v>67</v>
      </c>
      <c r="G47" s="26">
        <v>40200</v>
      </c>
      <c r="H47" s="33" t="s">
        <v>9</v>
      </c>
      <c r="I47" s="28" t="s">
        <v>94</v>
      </c>
      <c r="J47" s="29"/>
      <c r="K47" s="30" t="s">
        <v>95</v>
      </c>
    </row>
    <row r="48" spans="1:11">
      <c r="A48" s="75">
        <v>46</v>
      </c>
      <c r="B48" s="68" t="s">
        <v>129</v>
      </c>
      <c r="C48" s="22">
        <v>10</v>
      </c>
      <c r="D48" s="23">
        <v>2</v>
      </c>
      <c r="E48" s="24">
        <v>600</v>
      </c>
      <c r="F48" s="50">
        <f t="shared" si="1"/>
        <v>53.333333333333336</v>
      </c>
      <c r="G48" s="26">
        <v>32000</v>
      </c>
      <c r="H48" s="33" t="s">
        <v>15</v>
      </c>
      <c r="I48" s="28" t="s">
        <v>130</v>
      </c>
      <c r="J48" s="29"/>
      <c r="K48" s="30" t="s">
        <v>131</v>
      </c>
    </row>
    <row r="49" spans="1:11">
      <c r="A49" s="75">
        <v>47</v>
      </c>
      <c r="B49" s="68" t="s">
        <v>132</v>
      </c>
      <c r="C49" s="22">
        <v>13</v>
      </c>
      <c r="D49" s="23">
        <v>3</v>
      </c>
      <c r="E49" s="24">
        <v>600</v>
      </c>
      <c r="F49" s="50">
        <f t="shared" si="1"/>
        <v>95</v>
      </c>
      <c r="G49" s="26">
        <v>57000</v>
      </c>
      <c r="H49" s="33" t="s">
        <v>9</v>
      </c>
      <c r="I49" s="28" t="s">
        <v>133</v>
      </c>
      <c r="J49" s="29"/>
      <c r="K49" s="30" t="s">
        <v>134</v>
      </c>
    </row>
    <row r="50" spans="1:11">
      <c r="A50" s="75">
        <v>48</v>
      </c>
      <c r="B50" s="68" t="s">
        <v>135</v>
      </c>
      <c r="C50" s="22">
        <v>16</v>
      </c>
      <c r="D50" s="23">
        <v>3</v>
      </c>
      <c r="E50" s="24">
        <v>600</v>
      </c>
      <c r="F50" s="50">
        <f t="shared" si="1"/>
        <v>90.833333333333329</v>
      </c>
      <c r="G50" s="26">
        <v>54500</v>
      </c>
      <c r="H50" s="33" t="s">
        <v>9</v>
      </c>
      <c r="I50" s="28" t="s">
        <v>136</v>
      </c>
      <c r="J50" s="29"/>
      <c r="K50" s="30" t="s">
        <v>137</v>
      </c>
    </row>
    <row r="51" spans="1:11">
      <c r="A51" s="75">
        <v>49</v>
      </c>
      <c r="B51" s="68" t="s">
        <v>135</v>
      </c>
      <c r="C51" s="22">
        <v>17</v>
      </c>
      <c r="D51" s="23">
        <v>3</v>
      </c>
      <c r="E51" s="24">
        <v>600</v>
      </c>
      <c r="F51" s="50">
        <f t="shared" si="1"/>
        <v>90.833333333333329</v>
      </c>
      <c r="G51" s="26">
        <v>54500</v>
      </c>
      <c r="H51" s="33" t="s">
        <v>9</v>
      </c>
      <c r="I51" s="28" t="s">
        <v>136</v>
      </c>
      <c r="J51" s="29"/>
      <c r="K51" s="30" t="s">
        <v>137</v>
      </c>
    </row>
    <row r="52" spans="1:11">
      <c r="A52" s="75">
        <v>50</v>
      </c>
      <c r="B52" s="72" t="s">
        <v>138</v>
      </c>
      <c r="C52" s="48">
        <v>19</v>
      </c>
      <c r="D52" s="49">
        <v>2</v>
      </c>
      <c r="E52" s="52">
        <v>600</v>
      </c>
      <c r="F52" s="53">
        <f t="shared" si="1"/>
        <v>60</v>
      </c>
      <c r="G52" s="43">
        <v>36000</v>
      </c>
      <c r="H52" s="27" t="s">
        <v>9</v>
      </c>
      <c r="I52" s="44" t="s">
        <v>139</v>
      </c>
      <c r="J52" s="29"/>
      <c r="K52" s="30" t="s">
        <v>140</v>
      </c>
    </row>
    <row r="53" spans="1:11">
      <c r="A53" s="75">
        <v>51</v>
      </c>
      <c r="B53" s="71" t="s">
        <v>141</v>
      </c>
      <c r="C53" s="48">
        <v>2</v>
      </c>
      <c r="D53" s="49">
        <v>2</v>
      </c>
      <c r="E53" s="52">
        <v>600</v>
      </c>
      <c r="F53" s="53">
        <f t="shared" si="1"/>
        <v>60</v>
      </c>
      <c r="G53" s="43">
        <v>36000</v>
      </c>
      <c r="H53" s="27" t="s">
        <v>15</v>
      </c>
      <c r="I53" s="44" t="s">
        <v>142</v>
      </c>
      <c r="J53" s="29"/>
      <c r="K53" s="30" t="s">
        <v>143</v>
      </c>
    </row>
    <row r="54" spans="1:11">
      <c r="A54" s="75">
        <v>52</v>
      </c>
      <c r="B54" s="71" t="s">
        <v>144</v>
      </c>
      <c r="C54" s="48">
        <v>13</v>
      </c>
      <c r="D54" s="49">
        <v>1</v>
      </c>
      <c r="E54" s="52">
        <v>836.5</v>
      </c>
      <c r="F54" s="53">
        <f t="shared" si="1"/>
        <v>60</v>
      </c>
      <c r="G54" s="43">
        <v>50190</v>
      </c>
      <c r="H54" s="27" t="s">
        <v>9</v>
      </c>
      <c r="I54" s="44" t="s">
        <v>145</v>
      </c>
      <c r="J54" s="29"/>
      <c r="K54" s="30" t="s">
        <v>146</v>
      </c>
    </row>
    <row r="55" spans="1:11" ht="16.5" thickBot="1">
      <c r="A55" s="76">
        <v>53</v>
      </c>
      <c r="B55" s="73" t="s">
        <v>147</v>
      </c>
      <c r="C55" s="54">
        <v>15</v>
      </c>
      <c r="D55" s="55">
        <v>1</v>
      </c>
      <c r="E55" s="56">
        <v>963.4</v>
      </c>
      <c r="F55" s="57">
        <f t="shared" si="1"/>
        <v>60</v>
      </c>
      <c r="G55" s="58">
        <v>57804</v>
      </c>
      <c r="H55" s="59" t="s">
        <v>9</v>
      </c>
      <c r="I55" s="60" t="s">
        <v>145</v>
      </c>
      <c r="J55" s="61"/>
      <c r="K55" s="62" t="s">
        <v>146</v>
      </c>
    </row>
    <row r="56" spans="1:11">
      <c r="I56" s="5"/>
    </row>
    <row r="57" spans="1:11">
      <c r="I57" s="5"/>
    </row>
    <row r="58" spans="1:11">
      <c r="I58" s="5"/>
    </row>
    <row r="59" spans="1:11">
      <c r="I59" s="5"/>
    </row>
    <row r="60" spans="1:11">
      <c r="I60" s="5"/>
    </row>
    <row r="61" spans="1:11">
      <c r="I61" s="5"/>
    </row>
    <row r="62" spans="1:11">
      <c r="I62" s="5"/>
    </row>
    <row r="63" spans="1:11">
      <c r="I63" s="5"/>
    </row>
    <row r="64" spans="1:11">
      <c r="I64" s="5"/>
    </row>
    <row r="65" spans="9:9">
      <c r="I65" s="5"/>
    </row>
    <row r="66" spans="9:9">
      <c r="I66" s="5"/>
    </row>
    <row r="67" spans="9:9">
      <c r="I67" s="5"/>
    </row>
    <row r="68" spans="9:9">
      <c r="I68" s="5"/>
    </row>
    <row r="69" spans="9:9">
      <c r="I69" s="5"/>
    </row>
    <row r="70" spans="9:9">
      <c r="I70" s="5"/>
    </row>
    <row r="71" spans="9:9">
      <c r="I71" s="5"/>
    </row>
    <row r="72" spans="9:9">
      <c r="I72" s="5"/>
    </row>
    <row r="73" spans="9:9">
      <c r="I73" s="5"/>
    </row>
    <row r="74" spans="9:9">
      <c r="I74" s="5"/>
    </row>
    <row r="75" spans="9:9">
      <c r="I75" s="5"/>
    </row>
    <row r="76" spans="9:9">
      <c r="I76" s="5"/>
    </row>
    <row r="77" spans="9:9">
      <c r="I77" s="5"/>
    </row>
    <row r="78" spans="9:9">
      <c r="I78" s="5"/>
    </row>
    <row r="79" spans="9:9">
      <c r="I79" s="5"/>
    </row>
    <row r="80" spans="9:9">
      <c r="I80" s="5"/>
    </row>
    <row r="81" spans="9:9">
      <c r="I81" s="5"/>
    </row>
    <row r="82" spans="9:9">
      <c r="I82" s="5"/>
    </row>
    <row r="83" spans="9:9">
      <c r="I83" s="5"/>
    </row>
    <row r="84" spans="9:9">
      <c r="I84" s="5"/>
    </row>
    <row r="85" spans="9:9">
      <c r="I85" s="5"/>
    </row>
    <row r="86" spans="9:9">
      <c r="I86" s="5"/>
    </row>
    <row r="87" spans="9:9">
      <c r="I87" s="5"/>
    </row>
    <row r="88" spans="9:9">
      <c r="I88" s="5"/>
    </row>
    <row r="89" spans="9:9">
      <c r="I89" s="5"/>
    </row>
    <row r="90" spans="9:9">
      <c r="I90" s="5"/>
    </row>
    <row r="91" spans="9:9">
      <c r="I91" s="5"/>
    </row>
    <row r="92" spans="9:9">
      <c r="I92" s="5"/>
    </row>
    <row r="93" spans="9:9">
      <c r="I93" s="5"/>
    </row>
    <row r="94" spans="9:9">
      <c r="I94" s="5"/>
    </row>
    <row r="95" spans="9:9">
      <c r="I95" s="5"/>
    </row>
    <row r="96" spans="9:9">
      <c r="I96" s="5"/>
    </row>
    <row r="97" spans="9:9">
      <c r="I97" s="5"/>
    </row>
    <row r="98" spans="9:9">
      <c r="I98" s="5"/>
    </row>
    <row r="99" spans="9:9">
      <c r="I99" s="5"/>
    </row>
    <row r="100" spans="9:9">
      <c r="I100" s="5"/>
    </row>
    <row r="101" spans="9:9">
      <c r="I101" s="5"/>
    </row>
    <row r="102" spans="9:9">
      <c r="I102" s="5"/>
    </row>
    <row r="103" spans="9:9">
      <c r="I103" s="5"/>
    </row>
    <row r="104" spans="9:9">
      <c r="I104" s="5"/>
    </row>
    <row r="105" spans="9:9">
      <c r="I105" s="5"/>
    </row>
    <row r="106" spans="9:9">
      <c r="I106" s="5"/>
    </row>
    <row r="107" spans="9:9">
      <c r="I107" s="5"/>
    </row>
    <row r="108" spans="9:9">
      <c r="I108" s="5"/>
    </row>
    <row r="109" spans="9:9">
      <c r="I109" s="5"/>
    </row>
    <row r="110" spans="9:9">
      <c r="I110" s="5"/>
    </row>
    <row r="111" spans="9:9">
      <c r="I111" s="5"/>
    </row>
    <row r="112" spans="9:9">
      <c r="I112" s="5"/>
    </row>
    <row r="113" spans="9:9">
      <c r="I113" s="5"/>
    </row>
    <row r="114" spans="9:9">
      <c r="I114" s="5"/>
    </row>
    <row r="115" spans="9:9">
      <c r="I115" s="5"/>
    </row>
    <row r="116" spans="9:9">
      <c r="I116" s="5"/>
    </row>
    <row r="117" spans="9:9">
      <c r="I117" s="5"/>
    </row>
    <row r="118" spans="9:9">
      <c r="I118" s="5"/>
    </row>
    <row r="119" spans="9:9">
      <c r="I119" s="5"/>
    </row>
    <row r="120" spans="9:9">
      <c r="I120" s="5"/>
    </row>
    <row r="121" spans="9:9">
      <c r="I121" s="5"/>
    </row>
    <row r="122" spans="9:9">
      <c r="I122" s="5"/>
    </row>
    <row r="123" spans="9:9">
      <c r="I123" s="5"/>
    </row>
    <row r="124" spans="9:9">
      <c r="I124" s="5"/>
    </row>
    <row r="125" spans="9:9">
      <c r="I125" s="5"/>
    </row>
    <row r="126" spans="9:9">
      <c r="I126" s="5"/>
    </row>
    <row r="127" spans="9:9">
      <c r="I127" s="5"/>
    </row>
    <row r="128" spans="9:9">
      <c r="I128" s="5"/>
    </row>
    <row r="129" spans="9:9">
      <c r="I129" s="5"/>
    </row>
    <row r="130" spans="9:9">
      <c r="I130" s="5"/>
    </row>
    <row r="131" spans="9:9">
      <c r="I131" s="5"/>
    </row>
    <row r="132" spans="9:9">
      <c r="I132" s="5"/>
    </row>
    <row r="133" spans="9:9">
      <c r="I133" s="5"/>
    </row>
    <row r="134" spans="9:9">
      <c r="I134" s="5"/>
    </row>
    <row r="135" spans="9:9">
      <c r="I135" s="5"/>
    </row>
    <row r="136" spans="9:9">
      <c r="I136" s="5"/>
    </row>
    <row r="137" spans="9:9">
      <c r="I137" s="5"/>
    </row>
    <row r="138" spans="9:9">
      <c r="I138" s="5"/>
    </row>
    <row r="139" spans="9:9">
      <c r="I139" s="5"/>
    </row>
    <row r="140" spans="9:9">
      <c r="I140" s="5"/>
    </row>
    <row r="141" spans="9:9">
      <c r="I141" s="5"/>
    </row>
    <row r="142" spans="9:9">
      <c r="I142" s="5"/>
    </row>
    <row r="143" spans="9:9">
      <c r="I143" s="5"/>
    </row>
    <row r="144" spans="9:9">
      <c r="I144" s="5"/>
    </row>
    <row r="145" spans="9:9">
      <c r="I145" s="5"/>
    </row>
    <row r="146" spans="9:9">
      <c r="I146" s="5"/>
    </row>
    <row r="147" spans="9:9">
      <c r="I147" s="5"/>
    </row>
    <row r="148" spans="9:9">
      <c r="I148" s="5"/>
    </row>
    <row r="149" spans="9:9">
      <c r="I149" s="5"/>
    </row>
    <row r="150" spans="9:9">
      <c r="I150" s="5"/>
    </row>
    <row r="151" spans="9:9">
      <c r="I151" s="5"/>
    </row>
    <row r="152" spans="9:9">
      <c r="I152" s="5"/>
    </row>
    <row r="153" spans="9:9">
      <c r="I153" s="5"/>
    </row>
    <row r="154" spans="9:9">
      <c r="I154" s="5"/>
    </row>
    <row r="155" spans="9:9">
      <c r="I155" s="5"/>
    </row>
    <row r="156" spans="9:9">
      <c r="I156" s="5"/>
    </row>
    <row r="157" spans="9:9">
      <c r="I157" s="5"/>
    </row>
    <row r="158" spans="9:9">
      <c r="I158" s="5"/>
    </row>
    <row r="159" spans="9:9">
      <c r="I159" s="5"/>
    </row>
    <row r="160" spans="9:9">
      <c r="I160" s="5"/>
    </row>
    <row r="161" spans="9:9">
      <c r="I161" s="5"/>
    </row>
    <row r="162" spans="9:9">
      <c r="I162" s="5"/>
    </row>
    <row r="163" spans="9:9">
      <c r="I163" s="5"/>
    </row>
    <row r="164" spans="9:9">
      <c r="I164" s="5"/>
    </row>
    <row r="165" spans="9:9">
      <c r="I165" s="5"/>
    </row>
    <row r="166" spans="9:9">
      <c r="I166" s="5"/>
    </row>
    <row r="167" spans="9:9">
      <c r="I167" s="5"/>
    </row>
    <row r="168" spans="9:9">
      <c r="I168" s="5"/>
    </row>
    <row r="169" spans="9:9">
      <c r="I169" s="5"/>
    </row>
    <row r="170" spans="9:9">
      <c r="I170" s="5"/>
    </row>
    <row r="171" spans="9:9">
      <c r="I171" s="5"/>
    </row>
    <row r="172" spans="9:9">
      <c r="I172" s="5"/>
    </row>
    <row r="173" spans="9:9">
      <c r="I173" s="5"/>
    </row>
    <row r="174" spans="9:9">
      <c r="I174" s="5"/>
    </row>
    <row r="175" spans="9:9">
      <c r="I175" s="5"/>
    </row>
    <row r="176" spans="9:9">
      <c r="I176" s="5"/>
    </row>
    <row r="177" spans="9:9">
      <c r="I177" s="5"/>
    </row>
    <row r="178" spans="9:9">
      <c r="I178" s="5"/>
    </row>
    <row r="179" spans="9:9">
      <c r="I179" s="5"/>
    </row>
    <row r="180" spans="9:9">
      <c r="I180" s="5"/>
    </row>
    <row r="181" spans="9:9">
      <c r="I181" s="5"/>
    </row>
    <row r="182" spans="9:9">
      <c r="I182" s="5"/>
    </row>
    <row r="183" spans="9:9">
      <c r="I183" s="5"/>
    </row>
    <row r="184" spans="9:9">
      <c r="I184" s="5"/>
    </row>
    <row r="185" spans="9:9">
      <c r="I185" s="5"/>
    </row>
    <row r="186" spans="9:9">
      <c r="I186" s="5"/>
    </row>
    <row r="187" spans="9:9">
      <c r="I187" s="5"/>
    </row>
    <row r="188" spans="9:9">
      <c r="I188" s="5"/>
    </row>
    <row r="189" spans="9:9">
      <c r="I189" s="5"/>
    </row>
    <row r="190" spans="9:9">
      <c r="I190" s="5"/>
    </row>
    <row r="191" spans="9:9">
      <c r="I191" s="5"/>
    </row>
    <row r="192" spans="9:9">
      <c r="I192" s="5"/>
    </row>
    <row r="193" spans="9:9">
      <c r="I193" s="5"/>
    </row>
    <row r="194" spans="9:9">
      <c r="I194" s="5"/>
    </row>
    <row r="195" spans="9:9">
      <c r="I195" s="5"/>
    </row>
    <row r="196" spans="9:9">
      <c r="I196" s="5"/>
    </row>
    <row r="197" spans="9:9">
      <c r="I197" s="5"/>
    </row>
    <row r="198" spans="9:9">
      <c r="I198" s="5"/>
    </row>
    <row r="199" spans="9:9">
      <c r="I199" s="5"/>
    </row>
    <row r="200" spans="9:9">
      <c r="I200" s="5"/>
    </row>
    <row r="201" spans="9:9">
      <c r="I201" s="5"/>
    </row>
    <row r="202" spans="9:9">
      <c r="I202" s="5"/>
    </row>
    <row r="203" spans="9:9">
      <c r="I203" s="5"/>
    </row>
    <row r="204" spans="9:9">
      <c r="I204" s="5"/>
    </row>
    <row r="205" spans="9:9">
      <c r="I205" s="5"/>
    </row>
    <row r="206" spans="9:9">
      <c r="I206" s="5"/>
    </row>
    <row r="207" spans="9:9">
      <c r="I207" s="5"/>
    </row>
    <row r="208" spans="9:9">
      <c r="I208" s="5"/>
    </row>
    <row r="209" spans="9:9">
      <c r="I209" s="5"/>
    </row>
    <row r="210" spans="9:9">
      <c r="I210" s="5"/>
    </row>
    <row r="211" spans="9:9">
      <c r="I211" s="5"/>
    </row>
    <row r="212" spans="9:9">
      <c r="I212" s="5"/>
    </row>
    <row r="213" spans="9:9">
      <c r="I213" s="5"/>
    </row>
    <row r="214" spans="9:9">
      <c r="I214" s="5"/>
    </row>
    <row r="215" spans="9:9">
      <c r="I215" s="5"/>
    </row>
    <row r="216" spans="9:9">
      <c r="I216" s="5"/>
    </row>
    <row r="217" spans="9:9">
      <c r="I217" s="5"/>
    </row>
    <row r="218" spans="9:9">
      <c r="I218" s="5"/>
    </row>
    <row r="219" spans="9:9">
      <c r="I219" s="5"/>
    </row>
    <row r="220" spans="9:9">
      <c r="I220" s="5"/>
    </row>
    <row r="221" spans="9:9">
      <c r="I221" s="5"/>
    </row>
    <row r="222" spans="9:9">
      <c r="I222" s="5"/>
    </row>
    <row r="223" spans="9:9">
      <c r="I223" s="5"/>
    </row>
    <row r="224" spans="9:9">
      <c r="I224" s="5"/>
    </row>
    <row r="225" spans="9:9">
      <c r="I225" s="5"/>
    </row>
    <row r="226" spans="9:9">
      <c r="I226" s="5"/>
    </row>
    <row r="227" spans="9:9">
      <c r="I227" s="5"/>
    </row>
    <row r="228" spans="9:9">
      <c r="I228" s="5"/>
    </row>
    <row r="229" spans="9:9">
      <c r="I229" s="5"/>
    </row>
    <row r="230" spans="9:9">
      <c r="I230" s="5"/>
    </row>
    <row r="231" spans="9:9">
      <c r="I231" s="5"/>
    </row>
    <row r="232" spans="9:9">
      <c r="I232" s="5"/>
    </row>
    <row r="233" spans="9:9">
      <c r="I233" s="5"/>
    </row>
    <row r="234" spans="9:9">
      <c r="I234" s="5"/>
    </row>
    <row r="235" spans="9:9">
      <c r="I235" s="5"/>
    </row>
    <row r="236" spans="9:9">
      <c r="I236" s="5"/>
    </row>
    <row r="237" spans="9:9">
      <c r="I237" s="5"/>
    </row>
    <row r="238" spans="9:9">
      <c r="I238" s="5"/>
    </row>
    <row r="239" spans="9:9">
      <c r="I239" s="5"/>
    </row>
    <row r="240" spans="9:9">
      <c r="I240" s="5"/>
    </row>
    <row r="241" spans="9:9">
      <c r="I241" s="5"/>
    </row>
    <row r="242" spans="9:9">
      <c r="I242" s="5"/>
    </row>
    <row r="243" spans="9:9">
      <c r="I243" s="5"/>
    </row>
    <row r="244" spans="9:9">
      <c r="I244" s="5"/>
    </row>
    <row r="245" spans="9:9">
      <c r="I245" s="5"/>
    </row>
    <row r="246" spans="9:9">
      <c r="I246" s="5"/>
    </row>
    <row r="247" spans="9:9">
      <c r="I247" s="5"/>
    </row>
    <row r="248" spans="9:9">
      <c r="I248" s="5"/>
    </row>
    <row r="249" spans="9:9">
      <c r="I249" s="5"/>
    </row>
    <row r="250" spans="9:9">
      <c r="I250" s="5"/>
    </row>
    <row r="251" spans="9:9">
      <c r="I251" s="5"/>
    </row>
    <row r="252" spans="9:9">
      <c r="I252" s="5"/>
    </row>
    <row r="253" spans="9:9">
      <c r="I253" s="5"/>
    </row>
    <row r="254" spans="9:9">
      <c r="I254" s="5"/>
    </row>
    <row r="255" spans="9:9">
      <c r="I255" s="5"/>
    </row>
    <row r="256" spans="9:9">
      <c r="I256" s="5"/>
    </row>
    <row r="257" spans="9:9">
      <c r="I257" s="5"/>
    </row>
    <row r="258" spans="9:9">
      <c r="I258" s="5"/>
    </row>
    <row r="259" spans="9:9">
      <c r="I259" s="5"/>
    </row>
    <row r="260" spans="9:9">
      <c r="I260" s="5"/>
    </row>
  </sheetData>
  <mergeCells count="2">
    <mergeCell ref="H2:I2"/>
    <mergeCell ref="J2:K2"/>
  </mergeCells>
  <hyperlinks>
    <hyperlink ref="K25" r:id="rId1" xr:uid="{4E06E76A-639C-4B94-8643-B8D09D2AE490}"/>
    <hyperlink ref="K26" r:id="rId2" xr:uid="{C29C029D-3470-49CB-806E-BF5ACF4825A8}"/>
    <hyperlink ref="K18" r:id="rId3" xr:uid="{20377D70-3A52-4AEC-805A-0207D4BF1F23}"/>
    <hyperlink ref="K11" r:id="rId4" xr:uid="{DD5F03E6-CF27-4094-8763-477FB056999F}"/>
    <hyperlink ref="K4" r:id="rId5" xr:uid="{5CADCC67-E27E-4439-9FA9-8CE8C15E0FB8}"/>
    <hyperlink ref="K6" r:id="rId6" xr:uid="{F4468CD7-4731-47E9-9978-B7B795A5B642}"/>
    <hyperlink ref="K3" r:id="rId7" xr:uid="{6F38344B-BDAB-41BA-8156-A3187C05B67A}"/>
    <hyperlink ref="K13" r:id="rId8" xr:uid="{87010799-1325-463D-BB2E-4AF7027E6566}"/>
    <hyperlink ref="K12" r:id="rId9" xr:uid="{4A3504D3-C35F-4DBE-8F1B-F2D44BA87F19}"/>
    <hyperlink ref="K31" r:id="rId10" xr:uid="{40F67D2A-E52D-41F1-BF83-C48589F37CAF}"/>
    <hyperlink ref="K23" r:id="rId11" xr:uid="{B54B3CD7-D1D9-40E8-94EF-0049CDAB51F3}"/>
    <hyperlink ref="K27" r:id="rId12" xr:uid="{0B71E7E9-F937-4E93-BFA0-F5D914F34BE3}"/>
    <hyperlink ref="K33" r:id="rId13" xr:uid="{96F00016-13E4-421E-9339-730AC70E121C}"/>
    <hyperlink ref="K32" r:id="rId14" xr:uid="{02948512-A77A-47D8-A0AD-68E38200D31D}"/>
    <hyperlink ref="K30" r:id="rId15" xr:uid="{06D7C03A-BCA0-453D-92AD-309B89CDBB02}"/>
    <hyperlink ref="K28" r:id="rId16" xr:uid="{6B8C44A6-18F3-49E9-B328-2A422AD5A010}"/>
    <hyperlink ref="K29" r:id="rId17" xr:uid="{9DAB0DC4-2937-4083-B167-651DFF341714}"/>
    <hyperlink ref="K34" r:id="rId18" xr:uid="{15258DC6-CB5B-44AD-BCD6-AB90F869005B}"/>
    <hyperlink ref="K24" r:id="rId19" xr:uid="{835C1559-1654-4B5E-A51E-67CBCA7FAF09}"/>
    <hyperlink ref="K44" r:id="rId20" xr:uid="{CE69B90A-A779-4361-95A3-6D5955F1A068}"/>
    <hyperlink ref="K43" r:id="rId21" xr:uid="{CC1A5302-7098-446C-8FC8-D7FFB92245BB}"/>
    <hyperlink ref="K41" r:id="rId22" xr:uid="{91F26475-8AEC-4BDF-B215-8F1FA9AE77AC}"/>
    <hyperlink ref="K45" r:id="rId23" xr:uid="{D33AFF82-F5CB-4B6D-963B-04871E39A506}"/>
    <hyperlink ref="K42" r:id="rId24" xr:uid="{43CC4312-758B-4A25-872D-7A28F383AEC6}"/>
    <hyperlink ref="K47" r:id="rId25" xr:uid="{FC30F65E-80D9-43C9-A310-0C32F56CDD25}"/>
    <hyperlink ref="K48" r:id="rId26" xr:uid="{43846EEF-0930-4585-8129-BF6ADF394A0C}"/>
    <hyperlink ref="K53" r:id="rId27" xr:uid="{83E114B3-20F1-4F14-AF38-89A98209BFDE}"/>
    <hyperlink ref="K52" r:id="rId28" xr:uid="{7806F53B-6942-469A-B08F-361D4E6FBA42}"/>
    <hyperlink ref="K55" r:id="rId29" xr:uid="{A04611AC-E567-4ED8-9B5C-8542DE5F0535}"/>
    <hyperlink ref="K54" r:id="rId30" xr:uid="{A5E98002-194F-4B94-9892-D589FC43FA42}"/>
    <hyperlink ref="K51" r:id="rId31" xr:uid="{2E1C3481-BD4E-453D-B26C-EE1A49FCC67B}"/>
    <hyperlink ref="K50" r:id="rId32" xr:uid="{DDD00E84-EF68-4F3C-B5E2-93DE7ECEC350}"/>
    <hyperlink ref="K49" r:id="rId33" xr:uid="{C1FAB289-7C0D-4F81-A9E1-37E9F9C939D1}"/>
    <hyperlink ref="J30" r:id="rId34" xr:uid="{01BE6217-F3C0-4D15-B4ED-E2ADE58C916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Tanya Castro</dc:creator>
  <cp:lastModifiedBy>Tanya Castro</cp:lastModifiedBy>
  <dcterms:created xsi:type="dcterms:W3CDTF">2026-02-11T22:17:08Z</dcterms:created>
  <dcterms:modified xsi:type="dcterms:W3CDTF">2026-02-11T22:41:39Z</dcterms:modified>
</cp:coreProperties>
</file>